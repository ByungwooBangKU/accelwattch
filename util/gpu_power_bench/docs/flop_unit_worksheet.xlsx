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단위 정의" sheetId="1" state="visible" r:id="rId1"/>
    <sheet name="2. FLOP_per_elem" sheetId="2" state="visible" r:id="rId2"/>
    <sheet name="3. matmul K 표" sheetId="3" state="visible" r:id="rId3"/>
    <sheet name="4. matmul bf16 K=4096" sheetId="4" state="visible" r:id="rId4"/>
    <sheet name="5. matmul fp8_te K=4096" sheetId="5" state="visible" r:id="rId5"/>
    <sheet name="6. softmax fp8 N=1M" sheetId="6" state="visible" r:id="rId6"/>
    <sheet name="7. 비교" sheetId="7" state="visible" r:id="rId7"/>
    <sheet name="8. FAQ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00E+00"/>
    <numFmt numFmtId="166" formatCode="0.00&quot;×&quot;"/>
  </numFmts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  <sz val="11"/>
    </font>
    <font>
      <name val="Consolas"/>
      <b val="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3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1" pivotButton="0" quotePrefix="0" xfId="0"/>
    <xf numFmtId="0" fontId="0" fillId="4" borderId="1" pivotButton="0" quotePrefix="0" xfId="0"/>
    <xf numFmtId="164" fontId="0" fillId="3" borderId="1" pivotButton="0" quotePrefix="0" xfId="0"/>
    <xf numFmtId="165" fontId="0" fillId="4" borderId="1" pivotButton="0" quotePrefix="0" xfId="0"/>
    <xf numFmtId="3" fontId="0" fillId="4" borderId="1" pivotButton="0" quotePrefix="0" xfId="0"/>
    <xf numFmtId="164" fontId="0" fillId="4" borderId="1" pivotButton="0" quotePrefix="0" xfId="0"/>
    <xf numFmtId="2" fontId="0" fillId="3" borderId="1" pivotButton="0" quotePrefix="0" xfId="0"/>
    <xf numFmtId="2" fontId="0" fillId="4" borderId="1" pivotButton="0" quotePrefix="0" xfId="0"/>
    <xf numFmtId="0" fontId="0" fillId="3" borderId="1" applyAlignment="1" pivotButton="0" quotePrefix="0" xfId="0">
      <alignment horizontal="center" vertical="center"/>
    </xf>
    <xf numFmtId="3" fontId="0" fillId="3" borderId="1" pivotButton="0" quotePrefix="0" xfId="0"/>
    <xf numFmtId="166" fontId="0" fillId="4" borderId="1" pivotButton="0" quotePrefix="0" xfId="0"/>
    <xf numFmtId="166" fontId="0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50" customWidth="1" min="3" max="3"/>
  </cols>
  <sheetData>
    <row r="1">
      <c r="A1" s="1" t="inlineStr">
        <is>
          <t>FLOP/elem &amp; pJ 단위 변환 — 정의</t>
        </is>
      </c>
    </row>
    <row r="2">
      <c r="A2" s="2" t="inlineStr">
        <is>
          <t>각 셀의 의미와 변환 공식. 다른 sheet 의 모든 계산은 이 정의를 따른다.</t>
        </is>
      </c>
    </row>
    <row r="4">
      <c r="A4" s="3" t="inlineStr">
        <is>
          <t>용어</t>
        </is>
      </c>
      <c r="B4" s="3" t="inlineStr">
        <is>
          <t>정의 / 공식</t>
        </is>
      </c>
      <c r="C4" s="3" t="inlineStr">
        <is>
          <t>비고</t>
        </is>
      </c>
    </row>
    <row r="5">
      <c r="A5" s="4" t="inlineStr">
        <is>
          <t>n_elements</t>
        </is>
      </c>
      <c r="B5" s="4" t="inlineStr">
        <is>
          <t>워크로드의 *output* element 수</t>
        </is>
      </c>
      <c r="C5" s="4" t="inlineStr">
        <is>
          <t>J/element 의 분모</t>
        </is>
      </c>
    </row>
    <row r="6">
      <c r="A6" s="4" t="inlineStr">
        <is>
          <t>total_FLOPs</t>
        </is>
      </c>
      <c r="B6" s="4" t="inlineStr">
        <is>
          <t>n_elements × FLOP_per_elem</t>
        </is>
      </c>
      <c r="C6" s="4" t="inlineStr">
        <is>
          <t>J/FLOP 의 분모</t>
        </is>
      </c>
    </row>
    <row r="7">
      <c r="A7" s="4" t="inlineStr">
        <is>
          <t>FLOP_per_elem</t>
        </is>
      </c>
      <c r="B7" s="4" t="inlineStr">
        <is>
          <t>알고리즘이 결정 (sheet 2 참조)</t>
        </is>
      </c>
      <c r="C7" s="4" t="inlineStr">
        <is>
          <t>op 가 정해지면 고정값. matmul 만 K 의존</t>
        </is>
      </c>
    </row>
    <row r="8">
      <c r="A8" s="4" t="inlineStr">
        <is>
          <t>E_total (J)</t>
        </is>
      </c>
      <c r="B8" s="4" t="inlineStr">
        <is>
          <t>NVML power 적분 (그 cell 의 wall_s 동안)</t>
        </is>
      </c>
      <c r="C8" s="4" t="inlineStr">
        <is>
          <t>측정 raw, idle 포함</t>
        </is>
      </c>
    </row>
    <row r="9">
      <c r="A9" s="4" t="inlineStr">
        <is>
          <t>E_dyn (J)</t>
        </is>
      </c>
      <c r="B9" s="4" t="inlineStr">
        <is>
          <t>E_total − P_static × wall_s</t>
        </is>
      </c>
      <c r="C9" s="4" t="inlineStr">
        <is>
          <t>워크로드가 추가로 만든 에너지</t>
        </is>
      </c>
    </row>
    <row r="10">
      <c r="A10" s="4" t="inlineStr">
        <is>
          <t>J/element_dyn</t>
        </is>
      </c>
      <c r="B10" s="4" t="inlineStr">
        <is>
          <t>E_dyn / n_elements</t>
        </is>
      </c>
      <c r="C10" s="4" t="inlineStr">
        <is>
          <t>한 element 처리에 든 dyn 에너지</t>
        </is>
      </c>
    </row>
    <row r="11">
      <c r="A11" s="4" t="inlineStr">
        <is>
          <t>J/FLOP_dyn</t>
        </is>
      </c>
      <c r="B11" s="4" t="inlineStr">
        <is>
          <t>E_dyn / total_FLOPs</t>
        </is>
      </c>
      <c r="C11" s="4" t="inlineStr">
        <is>
          <t>한 FLOP 에 든 dyn 에너지</t>
        </is>
      </c>
    </row>
    <row r="12">
      <c r="A12" s="4" t="inlineStr">
        <is>
          <t>pJ scale</t>
        </is>
      </c>
      <c r="B12" s="4" t="inlineStr">
        <is>
          <t>J × 1e12</t>
        </is>
      </c>
      <c r="C12" s="4" t="inlineStr">
        <is>
          <t>plot bar 위에 표기되는 숫자</t>
        </is>
      </c>
    </row>
    <row r="14">
      <c r="A14" s="5" t="inlineStr">
        <is>
          <t>변환 공식</t>
        </is>
      </c>
    </row>
    <row r="15">
      <c r="A15" s="6" t="inlineStr">
        <is>
          <t>pJ/FLOP = pJ/elem ÷ FLOP_per_elem</t>
        </is>
      </c>
    </row>
    <row r="16">
      <c r="A16" s="6" t="inlineStr">
        <is>
          <t>pJ/elem = pJ/FLOP × FLOP_per_elem</t>
        </is>
      </c>
    </row>
  </sheetData>
  <mergeCells count="4">
    <mergeCell ref="A1:C1"/>
    <mergeCell ref="A16:C16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60" customWidth="1" min="3" max="3"/>
  </cols>
  <sheetData>
    <row r="1">
      <c r="A1" s="1" t="inlineStr">
        <is>
          <t>op 별 FLOP_per_elem 상수</t>
        </is>
      </c>
    </row>
    <row r="2">
      <c r="A2" s="2" t="inlineStr">
        <is>
          <t>한 element 를 처리하기 위해 필요한 floating-point 연산 횟수. matmul 만 K 에 의존.</t>
        </is>
      </c>
    </row>
    <row r="4">
      <c r="A4" s="3" t="inlineStr">
        <is>
          <t>op</t>
        </is>
      </c>
      <c r="B4" s="3" t="inlineStr">
        <is>
          <t>FLOP_per_elem</t>
        </is>
      </c>
      <c r="C4" s="3" t="inlineStr">
        <is>
          <t>근거</t>
        </is>
      </c>
    </row>
    <row r="5">
      <c r="A5" s="4" t="inlineStr">
        <is>
          <t>mul, add</t>
        </is>
      </c>
      <c r="B5" s="7" t="n">
        <v>1</v>
      </c>
      <c r="C5" s="4" t="inlineStr">
        <is>
          <t>a±b 한 번</t>
        </is>
      </c>
    </row>
    <row r="6">
      <c r="A6" s="4" t="inlineStr">
        <is>
          <t>softmax</t>
        </is>
      </c>
      <c r="B6" s="7" t="n">
        <v>5</v>
      </c>
      <c r="C6" s="4" t="inlineStr">
        <is>
          <t>max, sub, exp, sum, div (cast 미포함)</t>
        </is>
      </c>
    </row>
    <row r="7">
      <c r="A7" s="4" t="inlineStr">
        <is>
          <t>gelu</t>
        </is>
      </c>
      <c r="B7" s="7" t="n">
        <v>8</v>
      </c>
      <c r="C7" s="4" t="inlineStr">
        <is>
          <t>tanh-approx: x, x³, mul, add, tanh, add, mul, mul</t>
        </is>
      </c>
    </row>
    <row r="8">
      <c r="A8" s="4" t="inlineStr">
        <is>
          <t>layernorm</t>
        </is>
      </c>
      <c r="B8" s="7" t="n">
        <v>8</v>
      </c>
      <c r="C8" s="4" t="inlineStr">
        <is>
          <t>mean, var, sub, div, mul, add, ...</t>
        </is>
      </c>
    </row>
    <row r="9">
      <c r="A9" s="4" t="inlineStr">
        <is>
          <t>matmul (M=N=K)</t>
        </is>
      </c>
      <c r="B9" s="4">
        <f> 2K</f>
        <v/>
      </c>
      <c r="C9" s="4" t="inlineStr">
        <is>
          <t>output 1 개 = K 회의 mul-add. K=4096 → 8192. K=12288 → 24576.</t>
        </is>
      </c>
    </row>
    <row r="11">
      <c r="A11" s="5" t="inlineStr">
        <is>
          <t>핵심 — 'FLOP_per_elem 이 5 로 고정' 의 의미</t>
        </is>
      </c>
    </row>
    <row r="12" ht="50" customHeight="1">
      <c r="A12" s="8" t="inlineStr">
        <is>
          <t>softmax 알고리즘이 한 element 를 출력하기 위해 정확히 5 개의 FP 연산을 실행한다. N=128 element row 든 N=1M element row 든 element 1 개 = 5 FLOP. 알고리즘에 박힌 상수 → 입력 크기 N 과 무관.</t>
        </is>
      </c>
    </row>
  </sheetData>
  <mergeCells count="3">
    <mergeCell ref="A1:C1"/>
    <mergeCell ref="A2:C2"/>
    <mergeCell ref="A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22" customWidth="1" min="4" max="4"/>
    <col width="50" customWidth="1" min="5" max="5"/>
  </cols>
  <sheetData>
    <row r="1">
      <c r="A1" s="1" t="inlineStr">
        <is>
          <t>matmul (square M=N=K) 의 FLOP/elem 이 K 에 따라 증가</t>
        </is>
      </c>
    </row>
    <row r="2">
      <c r="A2" s="2" t="inlineStr">
        <is>
          <t>output 1 개 = K 번의 곱·덧셈 = 2K FLOP. K 가 클수록 element 당 FLOP 도 비례해 증가.</t>
        </is>
      </c>
    </row>
    <row r="4">
      <c r="A4" s="3" t="inlineStr">
        <is>
          <t>K</t>
        </is>
      </c>
      <c r="B4" s="3" t="inlineStr">
        <is>
          <t>n_elements (= K²)</t>
        </is>
      </c>
      <c r="C4" s="3" t="inlineStr">
        <is>
          <t>total_FLOPs (= 2K³)</t>
        </is>
      </c>
      <c r="D4" s="3" t="inlineStr">
        <is>
          <t>FLOP/elem (= 2K)</t>
        </is>
      </c>
      <c r="E4" s="3" t="inlineStr">
        <is>
          <t>메모</t>
        </is>
      </c>
    </row>
    <row r="5">
      <c r="A5" s="4" t="n">
        <v>1024</v>
      </c>
      <c r="B5" s="4">
        <f>A5^2</f>
        <v/>
      </c>
      <c r="C5" s="4">
        <f>2*A5^3</f>
        <v/>
      </c>
      <c r="D5" s="4">
        <f>2*A5</f>
        <v/>
      </c>
      <c r="E5" s="4" t="inlineStr"/>
    </row>
    <row r="6">
      <c r="A6" s="4" t="n">
        <v>2048</v>
      </c>
      <c r="B6" s="4">
        <f>A6^2</f>
        <v/>
      </c>
      <c r="C6" s="4">
        <f>2*A6^3</f>
        <v/>
      </c>
      <c r="D6" s="4">
        <f>2*A6</f>
        <v/>
      </c>
      <c r="E6" s="4" t="inlineStr"/>
    </row>
    <row r="7">
      <c r="A7" s="4" t="n">
        <v>4096</v>
      </c>
      <c r="B7" s="4">
        <f>A7^2</f>
        <v/>
      </c>
      <c r="C7" s="4">
        <f>2*A7^3</f>
        <v/>
      </c>
      <c r="D7" s="4">
        <f>2*A7</f>
        <v/>
      </c>
      <c r="E7" s="9" t="inlineStr">
        <is>
          <t>← 본 worksheet 의 worked example K</t>
        </is>
      </c>
    </row>
    <row r="8">
      <c r="A8" s="4" t="n">
        <v>8192</v>
      </c>
      <c r="B8" s="4">
        <f>A8^2</f>
        <v/>
      </c>
      <c r="C8" s="4">
        <f>2*A8^3</f>
        <v/>
      </c>
      <c r="D8" s="4">
        <f>2*A8</f>
        <v/>
      </c>
      <c r="E8" s="4" t="inlineStr"/>
    </row>
    <row r="9">
      <c r="A9" s="4" t="n">
        <v>12288</v>
      </c>
      <c r="B9" s="4">
        <f>A9^2</f>
        <v/>
      </c>
      <c r="C9" s="4">
        <f>2*A9^3</f>
        <v/>
      </c>
      <c r="D9" s="4">
        <f>2*A9</f>
        <v/>
      </c>
      <c r="E9" s="9" t="inlineStr">
        <is>
          <t>← 본 sweep 의 최대 default K</t>
        </is>
      </c>
    </row>
    <row r="10">
      <c r="A10" s="4" t="n">
        <v>16384</v>
      </c>
      <c r="B10" s="4">
        <f>A10^2</f>
        <v/>
      </c>
      <c r="C10" s="4">
        <f>2*A10^3</f>
        <v/>
      </c>
      <c r="D10" s="4">
        <f>2*A10</f>
        <v/>
      </c>
      <c r="E10" s="9" t="inlineStr">
        <is>
          <t>← H100 fp8 only sweep 시 권장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matmul bf16 H100 K=4096 — worked example</t>
        </is>
      </c>
    </row>
    <row r="2">
      <c r="A2" s="2" t="inlineStr">
        <is>
          <t>사용자 실측 0.619 pJ/FLOP 을 재현. 노란 셀은 입력값, 초록 셀은 수식 결과.</t>
        </is>
      </c>
    </row>
    <row r="4">
      <c r="A4" s="3" t="inlineStr">
        <is>
          <t>quantity</t>
        </is>
      </c>
      <c r="B4" s="3" t="inlineStr">
        <is>
          <t>value</t>
        </is>
      </c>
      <c r="C4" s="3" t="inlineStr">
        <is>
          <t>formula / 의미</t>
        </is>
      </c>
    </row>
    <row r="5">
      <c r="A5" s="4" t="inlineStr">
        <is>
          <t>K (= M = N)</t>
        </is>
      </c>
      <c r="B5" s="9" t="n">
        <v>4096</v>
      </c>
      <c r="C5" s="4" t="inlineStr">
        <is>
          <t>--matmul-sizes 의 한 값</t>
        </is>
      </c>
    </row>
    <row r="6">
      <c r="A6" s="4" t="inlineStr">
        <is>
          <t>n_elements (= K²)</t>
        </is>
      </c>
      <c r="B6" s="10">
        <f>B5^2</f>
        <v/>
      </c>
      <c r="C6" s="4">
        <f> K^2</f>
        <v/>
      </c>
    </row>
    <row r="7">
      <c r="A7" s="4" t="inlineStr">
        <is>
          <t>FLOP per call (= 2K³)</t>
        </is>
      </c>
      <c r="B7" s="10">
        <f>2*B5^3</f>
        <v/>
      </c>
      <c r="C7" s="4">
        <f> 2*K^3</f>
        <v/>
      </c>
    </row>
    <row r="8">
      <c r="A8" s="4" t="inlineStr">
        <is>
          <t>FLOP_per_elem (= 2K)</t>
        </is>
      </c>
      <c r="B8" s="10">
        <f>2*B5</f>
        <v/>
      </c>
      <c r="C8" s="4">
        <f> 2*K (sheet 2)</f>
        <v/>
      </c>
    </row>
    <row r="9">
      <c r="A9" s="4" t="inlineStr">
        <is>
          <t>iters (3s window 안 호출 수)</t>
        </is>
      </c>
      <c r="B9" s="9" t="n">
        <v>250</v>
      </c>
      <c r="C9" s="4" t="inlineStr">
        <is>
          <t>측정 시점 자동 결정 (예시 값)</t>
        </is>
      </c>
    </row>
    <row r="10">
      <c r="A10" s="4" t="inlineStr">
        <is>
          <t>total_elements</t>
        </is>
      </c>
      <c r="B10" s="10">
        <f>B6*B9</f>
        <v/>
      </c>
      <c r="C10" s="4">
        <f> n_elements * iters</f>
        <v/>
      </c>
    </row>
    <row r="11">
      <c r="A11" s="4" t="inlineStr">
        <is>
          <t>total_FLOPs</t>
        </is>
      </c>
      <c r="B11" s="10">
        <f>B7*B9</f>
        <v/>
      </c>
      <c r="C11" s="4">
        <f> FLOP_per_call * iters</f>
        <v/>
      </c>
    </row>
    <row r="12">
      <c r="A12" s="4" t="inlineStr">
        <is>
          <t>measured dyn_energy_j</t>
        </is>
      </c>
      <c r="B12" s="11" t="n">
        <v>21.27</v>
      </c>
      <c r="C12" s="4" t="inlineStr">
        <is>
          <t>측정값 (예시)</t>
        </is>
      </c>
    </row>
    <row r="13">
      <c r="A13" s="4" t="inlineStr">
        <is>
          <t>J/element_dyn</t>
        </is>
      </c>
      <c r="B13" s="12">
        <f>B12/B10</f>
        <v/>
      </c>
      <c r="C13" s="4">
        <f> dyn_energy / total_elements</f>
        <v/>
      </c>
    </row>
    <row r="14">
      <c r="A14" s="4" t="inlineStr">
        <is>
          <t>J/FLOP_dyn</t>
        </is>
      </c>
      <c r="B14" s="12">
        <f>B12/B11</f>
        <v/>
      </c>
      <c r="C14" s="4">
        <f> dyn_energy / total_FLOPs</f>
        <v/>
      </c>
    </row>
    <row r="15">
      <c r="A15" s="4" t="inlineStr">
        <is>
          <t>pJ/elem (× 1e12)</t>
        </is>
      </c>
      <c r="B15" s="13">
        <f>B13*1E12</f>
        <v/>
      </c>
      <c r="C15" s="4" t="inlineStr">
        <is>
          <t>plot bar 위 표기</t>
        </is>
      </c>
    </row>
    <row r="16">
      <c r="A16" s="4" t="inlineStr">
        <is>
          <t>pJ/FLOP (× 1e12)</t>
        </is>
      </c>
      <c r="B16" s="14">
        <f>B14*1E12</f>
        <v/>
      </c>
      <c r="C16" s="4" t="inlineStr">
        <is>
          <t>← 사용자 실측 0.619 와 일치</t>
        </is>
      </c>
    </row>
    <row r="17">
      <c r="A17" s="4" t="inlineStr">
        <is>
          <t>검증: pJ/FLOP × FLOP/elem</t>
        </is>
      </c>
      <c r="B17" s="13">
        <f>B16*B8</f>
        <v/>
      </c>
      <c r="C17" s="4">
        <f> pJ/elem 과 같아야 함</f>
        <v/>
      </c>
    </row>
    <row r="19">
      <c r="A19" s="2" t="inlineStr">
        <is>
          <t>노란 셀(B5, B9, B12) 값을 바꾸면 다른 모든 cell 이 자동 재계산됨.</t>
        </is>
      </c>
    </row>
  </sheetData>
  <mergeCells count="3">
    <mergeCell ref="A1:C1"/>
    <mergeCell ref="A19:C19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60" customWidth="1" min="3" max="3"/>
  </cols>
  <sheetData>
    <row r="1">
      <c r="A1" s="1" t="inlineStr">
        <is>
          <t>matmul fp8_te H100 K=4096 — worked example</t>
        </is>
      </c>
    </row>
    <row r="2" ht="30" customHeight="1">
      <c r="A2" s="2" t="inlineStr">
        <is>
          <t>사용자 실측 0.401 pJ/FLOP 을 재현. fp8 가 bf16 보다 작은 이유: native FP8 Tensor Core (cast 없음) + 2× peak throughput.</t>
        </is>
      </c>
    </row>
    <row r="4">
      <c r="A4" s="3" t="inlineStr">
        <is>
          <t>quantity</t>
        </is>
      </c>
      <c r="B4" s="3" t="inlineStr">
        <is>
          <t>value</t>
        </is>
      </c>
      <c r="C4" s="3" t="inlineStr">
        <is>
          <t>formula</t>
        </is>
      </c>
    </row>
    <row r="5">
      <c r="A5" s="4" t="inlineStr">
        <is>
          <t>K</t>
        </is>
      </c>
      <c r="B5" s="9" t="n">
        <v>4096</v>
      </c>
      <c r="C5" s="4" t="inlineStr"/>
    </row>
    <row r="6">
      <c r="A6" s="4" t="inlineStr">
        <is>
          <t>n_elements (= K²)</t>
        </is>
      </c>
      <c r="B6" s="10">
        <f>B5^2</f>
        <v/>
      </c>
      <c r="C6" s="4" t="inlineStr"/>
    </row>
    <row r="7">
      <c r="A7" s="4" t="inlineStr">
        <is>
          <t>FLOP per call (= 2K³)</t>
        </is>
      </c>
      <c r="B7" s="10">
        <f>2*B5^3</f>
        <v/>
      </c>
      <c r="C7" s="4" t="inlineStr"/>
    </row>
    <row r="8">
      <c r="A8" s="4" t="inlineStr">
        <is>
          <t>FLOP_per_elem (= 2K)</t>
        </is>
      </c>
      <c r="B8" s="10">
        <f>2*B5</f>
        <v/>
      </c>
      <c r="C8" s="4" t="inlineStr"/>
    </row>
    <row r="9">
      <c r="A9" s="4" t="inlineStr">
        <is>
          <t>iters (fp8 가 더 빨라 더 많은 iter)</t>
        </is>
      </c>
      <c r="B9" s="9" t="n">
        <v>800</v>
      </c>
      <c r="C9" s="4" t="inlineStr">
        <is>
          <t>예시</t>
        </is>
      </c>
    </row>
    <row r="10">
      <c r="A10" s="4" t="inlineStr">
        <is>
          <t>total_elements</t>
        </is>
      </c>
      <c r="B10" s="10">
        <f>B6*B9</f>
        <v/>
      </c>
      <c r="C10" s="4" t="inlineStr"/>
    </row>
    <row r="11">
      <c r="A11" s="4" t="inlineStr">
        <is>
          <t>total_FLOPs</t>
        </is>
      </c>
      <c r="B11" s="10">
        <f>B7*B9</f>
        <v/>
      </c>
      <c r="C11" s="4" t="inlineStr"/>
    </row>
    <row r="12">
      <c r="A12" s="4" t="inlineStr">
        <is>
          <t>measured dyn_energy_j</t>
        </is>
      </c>
      <c r="B12" s="11" t="n">
        <v>44.1</v>
      </c>
      <c r="C12" s="4" t="inlineStr">
        <is>
          <t>측정값 (예시)</t>
        </is>
      </c>
    </row>
    <row r="13">
      <c r="A13" s="4" t="inlineStr">
        <is>
          <t>J/element_dyn</t>
        </is>
      </c>
      <c r="B13" s="12">
        <f>B12/B10</f>
        <v/>
      </c>
      <c r="C13" s="4" t="inlineStr"/>
    </row>
    <row r="14">
      <c r="A14" s="4" t="inlineStr">
        <is>
          <t>J/FLOP_dyn</t>
        </is>
      </c>
      <c r="B14" s="12">
        <f>B12/B11</f>
        <v/>
      </c>
      <c r="C14" s="4" t="inlineStr"/>
    </row>
    <row r="15">
      <c r="A15" s="4" t="inlineStr">
        <is>
          <t>pJ/elem</t>
        </is>
      </c>
      <c r="B15" s="13">
        <f>B13*1E12</f>
        <v/>
      </c>
      <c r="C15" s="4" t="inlineStr"/>
    </row>
    <row r="16">
      <c r="A16" s="4" t="inlineStr">
        <is>
          <t>pJ/FLOP</t>
        </is>
      </c>
      <c r="B16" s="14">
        <f>B14*1E12</f>
        <v/>
      </c>
      <c r="C16" s="4" t="inlineStr">
        <is>
          <t>← 사용자 실측 0.401 와 일치</t>
        </is>
      </c>
    </row>
    <row r="17">
      <c r="A17" s="4" t="inlineStr">
        <is>
          <t>검증: pJ/FLOP × FLOP/elem</t>
        </is>
      </c>
      <c r="B17" s="13">
        <f>B16*B8</f>
        <v/>
      </c>
      <c r="C17" s="4">
        <f> pJ/elem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50" customWidth="1" min="5" max="5"/>
  </cols>
  <sheetData>
    <row r="1">
      <c r="A1" s="1" t="inlineStr">
        <is>
          <t>softmax fp8 H100 N=1M — worked example (cache regime 별)</t>
        </is>
      </c>
    </row>
    <row r="2" ht="30" customHeight="1">
      <c r="A2" s="2" t="inlineStr">
        <is>
          <t>사용자 실측 1940..7407 pJ/elem range 를 재현. l2_hit_100 (cached) 과 l2_hit_0 (DRAM streaming) 두 끝점 비교.</t>
        </is>
      </c>
    </row>
    <row r="4">
      <c r="A4" s="3" t="inlineStr">
        <is>
          <t>quantity</t>
        </is>
      </c>
      <c r="B4" s="3" t="inlineStr">
        <is>
          <t>공통</t>
        </is>
      </c>
      <c r="C4" s="3" t="inlineStr">
        <is>
          <t>l2_hit_100 (low N)</t>
        </is>
      </c>
      <c r="D4" s="3" t="inlineStr">
        <is>
          <t>l2_hit_0 (high N)</t>
        </is>
      </c>
      <c r="E4" s="3" t="inlineStr">
        <is>
          <t>formula / 의미</t>
        </is>
      </c>
    </row>
    <row r="5">
      <c r="A5" s="4" t="inlineStr">
        <is>
          <t>shape</t>
        </is>
      </c>
      <c r="B5" s="4" t="inlineStr">
        <is>
          <t>(M, D=1024)</t>
        </is>
      </c>
      <c r="C5" s="4" t="n"/>
      <c r="D5" s="4" t="n"/>
      <c r="E5" s="4" t="inlineStr">
        <is>
          <t>마지막 dim 따라 reduction</t>
        </is>
      </c>
    </row>
    <row r="6">
      <c r="A6" s="4" t="inlineStr">
        <is>
          <t>FLOP_per_elem</t>
        </is>
      </c>
      <c r="B6" s="9" t="n">
        <v>5</v>
      </c>
      <c r="C6" s="4" t="n"/>
      <c r="D6" s="4" t="n"/>
      <c r="E6" s="4" t="inlineStr">
        <is>
          <t>max, sub, exp, sum, div</t>
        </is>
      </c>
    </row>
    <row r="7">
      <c r="A7" s="4" t="inlineStr">
        <is>
          <t>N (이 cell 의 입력 크기, elements)</t>
        </is>
      </c>
      <c r="B7" s="4" t="n"/>
      <c r="C7" s="9" t="n">
        <v>1048576</v>
      </c>
      <c r="D7" s="9" t="n">
        <v>1048576</v>
      </c>
      <c r="E7" s="4" t="inlineStr">
        <is>
          <t>양쪽 다 N=1M elements (동일 size, 다른 cache regime)</t>
        </is>
      </c>
    </row>
    <row r="8">
      <c r="A8" s="4" t="inlineStr">
        <is>
          <t>FLOP per call (= 5N)</t>
        </is>
      </c>
      <c r="B8" s="4" t="n"/>
      <c r="C8" s="10">
        <f>5*C7</f>
        <v/>
      </c>
      <c r="D8" s="10">
        <f>5*D7</f>
        <v/>
      </c>
      <c r="E8" s="4" t="inlineStr"/>
    </row>
    <row r="9">
      <c r="A9" s="4" t="inlineStr">
        <is>
          <t>iters (예시; cache regime 별로 다를 수 있음)</t>
        </is>
      </c>
      <c r="B9" s="4" t="n"/>
      <c r="C9" s="9" t="n">
        <v>8000</v>
      </c>
      <c r="D9" s="9" t="n">
        <v>8000</v>
      </c>
      <c r="E9" s="4" t="inlineStr"/>
    </row>
    <row r="10">
      <c r="A10" s="4" t="inlineStr">
        <is>
          <t>total_elements</t>
        </is>
      </c>
      <c r="B10" s="4" t="n"/>
      <c r="C10" s="10">
        <f>C7*C9</f>
        <v/>
      </c>
      <c r="D10" s="10">
        <f>D7*D9</f>
        <v/>
      </c>
      <c r="E10" s="4" t="inlineStr"/>
    </row>
    <row r="11">
      <c r="A11" s="4" t="inlineStr">
        <is>
          <t>total_FLOPs</t>
        </is>
      </c>
      <c r="B11" s="4" t="n"/>
      <c r="C11" s="10">
        <f>C8*C9</f>
        <v/>
      </c>
      <c r="D11" s="10">
        <f>D8*D9</f>
        <v/>
      </c>
      <c r="E11" s="4" t="inlineStr"/>
    </row>
    <row r="12">
      <c r="A12" s="4" t="inlineStr">
        <is>
          <t>measured dyn_energy_j</t>
        </is>
      </c>
      <c r="B12" s="4" t="n"/>
      <c r="C12" s="15" t="n">
        <v>16.27</v>
      </c>
      <c r="D12" s="15" t="n">
        <v>62.13</v>
      </c>
      <c r="E12" s="4" t="inlineStr">
        <is>
          <t>측정값 (l2_hit_100 &lt; l2_hit_0 — DRAM 트래픽 차이)</t>
        </is>
      </c>
    </row>
    <row r="13">
      <c r="A13" s="4" t="inlineStr">
        <is>
          <t>J/element_dyn</t>
        </is>
      </c>
      <c r="B13" s="4" t="n"/>
      <c r="C13" s="12">
        <f>C12/C10</f>
        <v/>
      </c>
      <c r="D13" s="12">
        <f>D12/D10</f>
        <v/>
      </c>
      <c r="E13" s="4" t="inlineStr"/>
    </row>
    <row r="14">
      <c r="A14" s="4" t="inlineStr">
        <is>
          <t>J/FLOP_dyn</t>
        </is>
      </c>
      <c r="B14" s="4" t="n"/>
      <c r="C14" s="12">
        <f>C12/C11</f>
        <v/>
      </c>
      <c r="D14" s="12">
        <f>D12/D11</f>
        <v/>
      </c>
      <c r="E14" s="4" t="inlineStr"/>
    </row>
    <row r="15">
      <c r="A15" s="4" t="inlineStr">
        <is>
          <t>pJ/elem</t>
        </is>
      </c>
      <c r="B15" s="4" t="n"/>
      <c r="C15" s="13">
        <f>C13*1E12</f>
        <v/>
      </c>
      <c r="D15" s="13">
        <f>D13*1E12</f>
        <v/>
      </c>
      <c r="E15" s="4" t="inlineStr">
        <is>
          <t>← 사용자 실측 1940 / 7407 과 일치</t>
        </is>
      </c>
    </row>
    <row r="16">
      <c r="A16" s="4" t="inlineStr">
        <is>
          <t>pJ/FLOP</t>
        </is>
      </c>
      <c r="B16" s="4" t="n"/>
      <c r="C16" s="16">
        <f>C14*1E12</f>
        <v/>
      </c>
      <c r="D16" s="16">
        <f>D14*1E12</f>
        <v/>
      </c>
      <c r="E16" s="4">
        <f> pJ/elem ÷ 5</f>
        <v/>
      </c>
    </row>
    <row r="17">
      <c r="A17" s="4" t="inlineStr">
        <is>
          <t>검증: pJ/FLOP × FLOP_per_elem</t>
        </is>
      </c>
      <c r="B17" s="4" t="n"/>
      <c r="C17" s="13">
        <f>C16*B6</f>
        <v/>
      </c>
      <c r="D17" s="13">
        <f>D16*B6</f>
        <v/>
      </c>
      <c r="E17" s="4">
        <f> pJ/elem (위와 같아야)</f>
        <v/>
      </c>
    </row>
    <row r="19">
      <c r="A19" s="5" t="inlineStr">
        <is>
          <t>왜 softmax fp8 의 pJ/elem 이 작은 N (l2_hit_100, ~1940) 과 큰 N (l2_hit_0, ~7407) 에서 4× 차이가 나는가:</t>
        </is>
      </c>
    </row>
    <row r="20" ht="90" customHeight="1">
      <c r="A20" s="8" t="inlineStr">
        <is>
          <t>FLOP_per_elem (=5) 은 동일. 하지만 fp8 softmax 는 cast-compute-cast 패턴 :  (1) fp8 → fp16 cast — 새 fp16 텐서 materialize  (2) fp16 으로 softmax 실행 — 입력 read + 출력 write  (3) fp16 → fp8 cast — 또 다른 read + write  → element 1 개당 ~10 byte DRAM 라운드트립. l2_hit_0 에선 매번 DRAM 까지 → +5500 pJ/elem 추가. l2_hit_100 에선 cache 에 fit → cast/compute 의 *순수 비용* 만 (~1940 pJ/elem).</t>
        </is>
      </c>
    </row>
  </sheetData>
  <mergeCells count="4">
    <mergeCell ref="A2:E2"/>
    <mergeCell ref="A1:E1"/>
    <mergeCell ref="A20:E20"/>
    <mergeCell ref="A19:E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세 측정값을 같은 단위로 정렬</t>
        </is>
      </c>
    </row>
    <row r="2">
      <c r="A2" s="2" t="inlineStr">
        <is>
          <t>matmul 의 pJ/FLOP 와 softmax 의 pJ/elem 은 단위가 달라 직접 비교 안 됨. 같은 단위로 변환해 비교.</t>
        </is>
      </c>
    </row>
    <row r="4">
      <c r="A4" s="3" t="inlineStr">
        <is>
          <t>metric</t>
        </is>
      </c>
      <c r="B4" s="3" t="inlineStr">
        <is>
          <t>matmul bf16 K=4096</t>
        </is>
      </c>
      <c r="C4" s="3" t="inlineStr">
        <is>
          <t>matmul fp8 K=4096</t>
        </is>
      </c>
      <c r="D4" s="3" t="inlineStr">
        <is>
          <t>softmax fp8 (l2_hit_100)</t>
        </is>
      </c>
      <c r="E4" s="3" t="inlineStr">
        <is>
          <t>softmax fp8 (l2_hit_0)</t>
        </is>
      </c>
    </row>
    <row r="5">
      <c r="A5" s="4" t="inlineStr">
        <is>
          <t>FLOP_per_elem</t>
        </is>
      </c>
      <c r="B5" s="7" t="n">
        <v>8192</v>
      </c>
      <c r="C5" s="17" t="n">
        <v>8192</v>
      </c>
      <c r="D5" s="7" t="n">
        <v>5</v>
      </c>
      <c r="E5" s="7" t="n">
        <v>5</v>
      </c>
    </row>
    <row r="6">
      <c r="A6" s="4" t="inlineStr">
        <is>
          <t>n_elements (output)</t>
        </is>
      </c>
      <c r="B6" s="4" t="inlineStr">
        <is>
          <t>16,777,216</t>
        </is>
      </c>
      <c r="C6" s="9" t="inlineStr">
        <is>
          <t>16,777,216</t>
        </is>
      </c>
      <c r="D6" s="4" t="inlineStr">
        <is>
          <t>1,048,576</t>
        </is>
      </c>
      <c r="E6" s="4" t="inlineStr">
        <is>
          <t>1,048,576</t>
        </is>
      </c>
    </row>
    <row r="7">
      <c r="A7" s="4" t="inlineStr">
        <is>
          <t>pJ/elem (실측 환산)</t>
        </is>
      </c>
      <c r="B7" s="13" t="n">
        <v>5072</v>
      </c>
      <c r="C7" s="18" t="n">
        <v>3286</v>
      </c>
      <c r="D7" s="13" t="n">
        <v>1940</v>
      </c>
      <c r="E7" s="13" t="n">
        <v>7407</v>
      </c>
    </row>
    <row r="8">
      <c r="A8" s="4" t="inlineStr">
        <is>
          <t>pJ/FLOP (실측 환산)</t>
        </is>
      </c>
      <c r="B8" s="16" t="n">
        <v>0.619</v>
      </c>
      <c r="C8" s="15" t="n">
        <v>0.401</v>
      </c>
      <c r="D8" s="16">
        <f>1940/5</f>
        <v/>
      </c>
      <c r="E8" s="16">
        <f>7407/5</f>
        <v/>
      </c>
    </row>
    <row r="9">
      <c r="A9" s="4" t="inlineStr">
        <is>
          <t>matmul fp8 대비 pJ/elem 배수</t>
        </is>
      </c>
      <c r="B9" s="19">
        <f>B7/C7</f>
        <v/>
      </c>
      <c r="C9" s="20">
        <f>C7/C7</f>
        <v/>
      </c>
      <c r="D9" s="19">
        <f>D7/C7</f>
        <v/>
      </c>
      <c r="E9" s="19">
        <f>E7/C7</f>
        <v/>
      </c>
    </row>
    <row r="10">
      <c r="A10" s="4" t="inlineStr">
        <is>
          <t>matmul fp8 대비 pJ/FLOP 배수</t>
        </is>
      </c>
      <c r="B10" s="19">
        <f>B8/C8</f>
        <v/>
      </c>
      <c r="C10" s="20">
        <f>C8/C8</f>
        <v/>
      </c>
      <c r="D10" s="19">
        <f>D8/C8</f>
        <v/>
      </c>
      <c r="E10" s="19">
        <f>E8/C8</f>
        <v/>
      </c>
    </row>
    <row r="12">
      <c r="A12" s="5" t="inlineStr">
        <is>
          <t>관찰</t>
        </is>
      </c>
    </row>
    <row r="13">
      <c r="A13" s="8" t="inlineStr">
        <is>
          <t>1) pJ/FLOP 단위 (행 8) — softmax fp8 가 matmul fp8 보다 ~1000× 비싸 보임.</t>
        </is>
      </c>
    </row>
    <row r="14">
      <c r="A14" s="8" t="inlineStr">
        <is>
          <t xml:space="preserve">   하지만 그건 softmax 의 FLOP 카운트가 5 (작음) 인데 cast / DRAM round-trip 같은 *non-FLOP* 비용이 같이 측정되기 때문.</t>
        </is>
      </c>
    </row>
    <row r="15">
      <c r="A15" s="8" t="inlineStr">
        <is>
          <t>2) pJ/elem 단위 (행 7) — 같은 자릿수. element 1 개 처리하는 *절대 비용* 이 비슷.</t>
        </is>
      </c>
    </row>
    <row r="16">
      <c r="A16" s="8" t="inlineStr">
        <is>
          <t xml:space="preserve">   l2_hit_100 의 softmax (1940) 는 matmul fp8 (3286) 보다 *싸다*. matmul 이 K=4096 → 8192 FLOP/elem 으로 무겁기 때문.</t>
        </is>
      </c>
    </row>
    <row r="17">
      <c r="A17" s="8" t="inlineStr">
        <is>
          <t>3) **결론** — 단위 차이만 풀면 측정은 일관됨. matmul 은 K-비교가 의미 있어 pJ/FLOP, elementwise 는 N 무관해 pJ/elem 이 자연 단위.</t>
        </is>
      </c>
    </row>
  </sheetData>
  <mergeCells count="7">
    <mergeCell ref="A2:E2"/>
    <mergeCell ref="A16:E16"/>
    <mergeCell ref="A15:E15"/>
    <mergeCell ref="A1:E1"/>
    <mergeCell ref="A13:E13"/>
    <mergeCell ref="A14:E14"/>
    <mergeCell ref="A17:E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</cols>
  <sheetData>
    <row r="1">
      <c r="A1" s="1" t="inlineStr">
        <is>
          <t>자주 묻는 질문</t>
        </is>
      </c>
    </row>
    <row r="3">
      <c r="A3" s="3" t="inlineStr">
        <is>
          <t>질문</t>
        </is>
      </c>
      <c r="B3" s="3" t="inlineStr">
        <is>
          <t>답</t>
        </is>
      </c>
    </row>
    <row r="4" ht="80" customHeight="1">
      <c r="A4" s="21" t="inlineStr">
        <is>
          <t>FLOP_per_elem 이 5 로 고정 이라는 게 무슨 뜻?</t>
        </is>
      </c>
      <c r="B4" s="21" t="inlineStr">
        <is>
          <t>softmax 알고리즘이 한 element 를 출력하기 위해 정확히 5 개의 FP 연산 (max, sub, exp, sum, div) 을 실행. N=128 든 N=1M 이든 element 1 개 = 5 FLOP. 알고리즘에 박힌 상수 → 입력 크기 N 과 무관.</t>
        </is>
      </c>
    </row>
    <row r="5" ht="80" customHeight="1">
      <c r="A5" s="21" t="inlineStr">
        <is>
          <t>matmul 은 왜 변동?</t>
        </is>
      </c>
      <c r="B5" s="21" t="inlineStr">
        <is>
          <t>matmul output element 1 개를 만들려면 K 번의 곱·덧셈 = 2K FLOP 필요. K=1024 → 2048, K=4096 → 8192, K=12288 → 24576. K 에 비례.</t>
        </is>
      </c>
    </row>
    <row r="6" ht="80" customHeight="1">
      <c r="A6" s="21" t="inlineStr">
        <is>
          <t>왜 plot panel 마다 단위 통일 안 함?</t>
        </is>
      </c>
      <c r="B6" s="21" t="inlineStr">
        <is>
          <t>matmul 은 K 마다 FLOP/elem 이 달라서 pJ/elem 으로 보면 K 가 클수록 자동 커짐 → K 비교 무의미. elementwise 는 FLOP/elem 가 고정이라 pJ/elem 이 자연 단위. 통일하면 한쪽이 무조건 왜곡됨.</t>
        </is>
      </c>
    </row>
    <row r="7" ht="80" customHeight="1">
      <c r="A7" s="21" t="inlineStr">
        <is>
          <t>같은 op (softmax) 인데 cache regime 마다 pJ/elem 이 1940→7407 로 바뀌는 이유?</t>
        </is>
      </c>
      <c r="B7" s="21" t="inlineStr">
        <is>
          <t>FLOP_per_elem 은 5 로 동일. 하지만 *DRAM 트래픽* 은 working set 따라 변함. l2_hit_0 (working set ≫ L2) 에선 cast tensor 들이 매번 DRAM → 추가 ~5500 pJ/elem. l2_hit_100 (cached) 에선 메모리 비용 거의 0 → 1940 pJ/elem 가 cast + compute 의 *순수 비용*.</t>
        </is>
      </c>
    </row>
    <row r="8" ht="80" customHeight="1">
      <c r="A8" s="21" t="inlineStr">
        <is>
          <t>matmul fp8 가 bf16 보다 작은 이유?</t>
        </is>
      </c>
      <c r="B8" s="21" t="inlineStr">
        <is>
          <t>(1) Hopper FP8 Tensor Core 는 native — cast 없음 (matmul fp8_te 의 emulation 은 pre-Hopper 만). (2) FP8 peak throughput 이 fp16/bf16 의 2× → 같은 K 에서 wall_s 가 절반 → static 에너지 절반. 결과: pJ/FLOP 이 ~0.6× 수준.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2026-04-29T07:16:11Z</dcterms:created>
  <dcterms:modified xsi:type="dcterms:W3CDTF">2026-04-29T07:16:11Z</dcterms:modified>
</cp:coreProperties>
</file>